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4381490ED9D084D/Documentos/"/>
    </mc:Choice>
  </mc:AlternateContent>
  <xr:revisionPtr revIDLastSave="3" documentId="8_{2CB91BB7-087B-4701-ABF3-9BB74CC56235}" xr6:coauthVersionLast="47" xr6:coauthVersionMax="47" xr10:uidLastSave="{81C467EE-6323-45F7-AA27-713E89505A8D}"/>
  <bookViews>
    <workbookView xWindow="28965" yWindow="15" windowWidth="22350" windowHeight="15600" tabRatio="0" xr2:uid="{B277548C-45D5-40F3-B7FE-D9497EBFCB27}"/>
  </bookViews>
  <sheets>
    <sheet name="TITULAR" sheetId="1" r:id="rId1"/>
    <sheet name="INFORMES" sheetId="2" r:id="rId2"/>
    <sheet name="NOTAS" sheetId="3" r:id="rId3"/>
    <sheet name="BD Banco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8" i="3" l="1"/>
  <c r="C9" i="2"/>
</calcChain>
</file>

<file path=xl/sharedStrings.xml><?xml version="1.0" encoding="utf-8"?>
<sst xmlns="http://schemas.openxmlformats.org/spreadsheetml/2006/main" count="119" uniqueCount="96">
  <si>
    <t xml:space="preserve"> </t>
  </si>
  <si>
    <t>1. DADOS DO TÍTULAR</t>
  </si>
  <si>
    <t>preencha os dados da sua pessoa física abaixo</t>
  </si>
  <si>
    <t>NOME</t>
  </si>
  <si>
    <t>CPF</t>
  </si>
  <si>
    <t>NASCIMENTO</t>
  </si>
  <si>
    <t>TÍTULO DE ELEITOR</t>
  </si>
  <si>
    <t>CÔNJUGE</t>
  </si>
  <si>
    <t>RUA</t>
  </si>
  <si>
    <t>Rua Dos limoeiros. Ruan, - Nº 180</t>
  </si>
  <si>
    <t>RUA ABREVIADA</t>
  </si>
  <si>
    <t>Rua Dos limoeiros. R, - Nº 180</t>
  </si>
  <si>
    <t>CEP</t>
  </si>
  <si>
    <t>TELEFONE</t>
  </si>
  <si>
    <t>CELULAR</t>
  </si>
  <si>
    <t>E-MAIL</t>
  </si>
  <si>
    <t>HOUVE ALTERAÇÕES DA ENTREGA ANTERIOR</t>
  </si>
  <si>
    <t>SIM</t>
  </si>
  <si>
    <t>DEPENDENTE CÔNJUGE</t>
  </si>
  <si>
    <t>NÃO</t>
  </si>
  <si>
    <t>RESIDENTE DO EXTERIOR</t>
  </si>
  <si>
    <t>2. INFORMES DE RENDIMENTOS BANCÁRIOS</t>
  </si>
  <si>
    <t>Preencha com seus dados atuais de cada banco</t>
  </si>
  <si>
    <t>TOTAL</t>
  </si>
  <si>
    <t>1º Banco</t>
  </si>
  <si>
    <t>BANCO</t>
  </si>
  <si>
    <t>336 - C6 Bank</t>
  </si>
  <si>
    <t>VALOR ATUAL</t>
  </si>
  <si>
    <t>ANEXO 🖇️</t>
  </si>
  <si>
    <t>topazao_2025.pdf</t>
  </si>
  <si>
    <t>2º Banco</t>
  </si>
  <si>
    <t>33 - Banco Santander</t>
  </si>
  <si>
    <t>3º Banco</t>
  </si>
  <si>
    <t>3. NOTAS BANCÁRIAS OU EXTRATO DE HOLERITES</t>
  </si>
  <si>
    <t>São todos os valores de entrada mês a mês de receita</t>
  </si>
  <si>
    <t>ENTRADAS</t>
  </si>
  <si>
    <t>DATA</t>
  </si>
  <si>
    <t>CATEGORIA</t>
  </si>
  <si>
    <t>VALOR</t>
  </si>
  <si>
    <t>HOLERITE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</si>
  <si>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</si>
  <si>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</si>
  <si>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</si>
  <si>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</si>
  <si>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</si>
  <si>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</si>
  <si>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</si>
  <si>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</si>
  <si>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</si>
  <si>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</si>
  <si>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</si>
  <si>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</si>
  <si>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</si>
  <si>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</si>
  <si>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</si>
  <si>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</si>
  <si>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</si>
  <si>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</si>
  <si>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</si>
  <si>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</si>
  <si>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</si>
  <si>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</si>
  <si>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</si>
  <si>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</si>
  <si>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</si>
  <si>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</si>
  <si>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</si>
  <si>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</si>
  <si>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</si>
  <si>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</si>
  <si>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</si>
  <si>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</si>
  <si>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</si>
  <si>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</si>
  <si>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</si>
  <si>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</si>
  <si>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</si>
  <si>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</si>
  <si>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</si>
  <si>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</si>
  <si>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</si>
  <si>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</si>
  <si>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</si>
  <si>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</si>
  <si>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</si>
  <si>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</si>
  <si>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</si>
  <si>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</si>
  <si>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</si>
  <si>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FULANO DE TAL</t>
  </si>
  <si>
    <t>SICLANDA SILVA DE TAL</t>
  </si>
  <si>
    <t>FULANO@dio.me</t>
  </si>
  <si>
    <t>0101/1900</t>
  </si>
  <si>
    <t>CNPJ</t>
  </si>
  <si>
    <t>FREELANCE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</si>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</sst>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8" formatCode="000&quot;.&quot;000&quot;.&quot;000&quot;-&quot;00"/>
    <numFmt numFmtId="169" formatCode="00000\-000"/>
    <numFmt numFmtId="170" formatCode="&quot;(&quot;00&quot;) &quot;0000&quot;-&quot;0000"/>
    <numFmt numFmtId="171" formatCode="&quot;(&quot;00&quot;) &quot;00000&quot;-&quot;0000"/>
    <numFmt numFmtId="172" formatCode="&quot;R$&quot;\ #,##0.00"/>
    <numFmt numFmtId="173" formatCode="mmmm\-yyyy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5"/>
      <color rgb="FF7030A0"/>
      <name val="Aptos Narrow"/>
      <family val="2"/>
      <scheme val="minor"/>
    </font>
    <font>
      <i/>
      <sz val="11"/>
      <color theme="2" tint="-0.749992370372631"/>
      <name val="Aptos Narrow"/>
      <family val="2"/>
      <scheme val="minor"/>
    </font>
    <font>
      <sz val="11"/>
      <color theme="1"/>
      <name val="Segoe UI Light"/>
      <family val="2"/>
    </font>
    <font>
      <b/>
      <sz val="11"/>
      <color theme="1"/>
      <name val="Segoe UI Light"/>
      <family val="2"/>
    </font>
    <font>
      <b/>
      <sz val="12"/>
      <color rgb="FF9C5700"/>
      <name val="Aptos Narrow"/>
      <family val="2"/>
      <scheme val="minor"/>
    </font>
    <font>
      <sz val="8"/>
      <color theme="2" tint="-0.499984740745262"/>
      <name val="Aptos Narrow"/>
      <family val="2"/>
      <scheme val="minor"/>
    </font>
    <font>
      <b/>
      <sz val="11"/>
      <color theme="0"/>
      <name val="Segoe UI Light"/>
      <family val="2"/>
    </font>
    <font>
      <b/>
      <sz val="10"/>
      <color theme="1"/>
      <name val="Segoe UI"/>
      <family val="2"/>
    </font>
    <font>
      <sz val="11"/>
      <color theme="1"/>
      <name val="Segoe UI"/>
      <family val="2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E131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E37B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EE37BF"/>
      </top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</borders>
  <cellStyleXfs count="4">
    <xf numFmtId="0" fontId="0" fillId="0" borderId="0"/>
    <xf numFmtId="0" fontId="2" fillId="0" borderId="1" applyNumberFormat="0" applyFill="0" applyAlignment="0" applyProtection="0"/>
    <xf numFmtId="0" fontId="1" fillId="2" borderId="2" applyNumberFormat="0" applyFont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0" fillId="3" borderId="0" xfId="0" applyFill="1"/>
    <xf numFmtId="0" fontId="5" fillId="0" borderId="3" xfId="1" applyFont="1" applyBorder="1"/>
    <xf numFmtId="0" fontId="2" fillId="0" borderId="3" xfId="1" applyBorder="1"/>
    <xf numFmtId="0" fontId="6" fillId="4" borderId="4" xfId="0" applyFont="1" applyFill="1" applyBorder="1" applyAlignment="1">
      <alignment horizontal="left" vertical="center" indent="3"/>
    </xf>
    <xf numFmtId="0" fontId="7" fillId="0" borderId="5" xfId="0" applyFont="1" applyBorder="1" applyAlignment="1">
      <alignment horizontal="right"/>
    </xf>
    <xf numFmtId="0" fontId="8" fillId="0" borderId="0" xfId="0" applyFont="1"/>
    <xf numFmtId="0" fontId="10" fillId="0" borderId="0" xfId="0" applyFont="1"/>
    <xf numFmtId="0" fontId="11" fillId="5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173" fontId="13" fillId="0" borderId="0" xfId="0" applyNumberFormat="1" applyFont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172" fontId="13" fillId="0" borderId="0" xfId="0" applyNumberFormat="1" applyFont="1" applyAlignment="1" applyProtection="1">
      <alignment horizontal="center"/>
      <protection locked="0"/>
    </xf>
    <xf numFmtId="0" fontId="14" fillId="0" borderId="0" xfId="0" applyFont="1"/>
    <xf numFmtId="0" fontId="3" fillId="2" borderId="2" xfId="2" applyFont="1" applyAlignment="1" applyProtection="1">
      <alignment horizontal="left"/>
      <protection locked="0"/>
    </xf>
    <xf numFmtId="168" fontId="3" fillId="2" borderId="2" xfId="2" applyNumberFormat="1" applyFont="1" applyAlignment="1" applyProtection="1">
      <alignment horizontal="left"/>
      <protection locked="0"/>
    </xf>
    <xf numFmtId="14" fontId="3" fillId="2" borderId="2" xfId="2" applyNumberFormat="1" applyFont="1" applyAlignment="1" applyProtection="1">
      <alignment horizontal="left"/>
      <protection locked="0"/>
    </xf>
    <xf numFmtId="169" fontId="3" fillId="2" borderId="2" xfId="2" applyNumberFormat="1" applyFont="1" applyAlignment="1" applyProtection="1">
      <alignment horizontal="left"/>
      <protection locked="0"/>
    </xf>
    <xf numFmtId="170" fontId="3" fillId="2" borderId="2" xfId="2" applyNumberFormat="1" applyFont="1" applyAlignment="1" applyProtection="1">
      <alignment horizontal="left"/>
      <protection locked="0"/>
    </xf>
    <xf numFmtId="171" fontId="3" fillId="2" borderId="2" xfId="2" applyNumberFormat="1" applyFont="1" applyAlignment="1" applyProtection="1">
      <alignment horizontal="left"/>
      <protection locked="0"/>
    </xf>
    <xf numFmtId="172" fontId="9" fillId="2" borderId="2" xfId="2" applyNumberFormat="1" applyFont="1" applyAlignment="1">
      <alignment horizontal="center"/>
    </xf>
    <xf numFmtId="0" fontId="9" fillId="2" borderId="2" xfId="2" applyFont="1" applyAlignment="1">
      <alignment horizontal="center"/>
    </xf>
    <xf numFmtId="172" fontId="3" fillId="2" borderId="2" xfId="2" applyNumberFormat="1" applyFont="1" applyAlignment="1" applyProtection="1">
      <alignment horizontal="left"/>
      <protection locked="0"/>
    </xf>
    <xf numFmtId="0" fontId="4" fillId="2" borderId="2" xfId="3" applyFill="1" applyBorder="1" applyAlignment="1" applyProtection="1">
      <alignment horizontal="left"/>
      <protection locked="0"/>
    </xf>
  </cellXfs>
  <cellStyles count="4">
    <cellStyle name="Hiperlink" xfId="3" builtinId="8"/>
    <cellStyle name="Normal" xfId="0" builtinId="0"/>
    <cellStyle name="Nota" xfId="2" builtinId="10"/>
    <cellStyle name="Título 1" xfId="1" builtinId="16"/>
  </cellStyles>
  <dxfs count="8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72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73" formatCode="mmmm\-yyyy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F4C5"/>
      <color rgb="FF212121"/>
      <color rgb="FFF0D4F8"/>
      <color rgb="FFDD9BEF"/>
      <color rgb="FF8037B7"/>
      <color rgb="FFB447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INFORMES!C1"/><Relationship Id="rId3" Type="http://schemas.openxmlformats.org/officeDocument/2006/relationships/image" Target="../media/image2.png"/><Relationship Id="rId7" Type="http://schemas.openxmlformats.org/officeDocument/2006/relationships/hyperlink" Target="#NOTAS!A1"/><Relationship Id="rId2" Type="http://schemas.openxmlformats.org/officeDocument/2006/relationships/image" Target="../media/image1.png"/><Relationship Id="rId1" Type="http://schemas.openxmlformats.org/officeDocument/2006/relationships/hyperlink" Target="https://www.linkedin.com/in/priscilaraguiar/" TargetMode="External"/><Relationship Id="rId6" Type="http://schemas.openxmlformats.org/officeDocument/2006/relationships/hyperlink" Target="#INFORMES!A1"/><Relationship Id="rId5" Type="http://schemas.openxmlformats.org/officeDocument/2006/relationships/hyperlink" Target="#TITULAR!A1"/><Relationship Id="rId4" Type="http://schemas.microsoft.com/office/2007/relationships/hdphoto" Target="../media/hdphoto1.wdp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NOTAS!C1"/><Relationship Id="rId3" Type="http://schemas.openxmlformats.org/officeDocument/2006/relationships/image" Target="../media/image3.png"/><Relationship Id="rId7" Type="http://schemas.openxmlformats.org/officeDocument/2006/relationships/hyperlink" Target="#NOTAS!A1"/><Relationship Id="rId2" Type="http://schemas.openxmlformats.org/officeDocument/2006/relationships/image" Target="../media/image1.png"/><Relationship Id="rId1" Type="http://schemas.openxmlformats.org/officeDocument/2006/relationships/hyperlink" Target="https://www.linkedin.com/in/priscilaraguiar/" TargetMode="External"/><Relationship Id="rId6" Type="http://schemas.openxmlformats.org/officeDocument/2006/relationships/hyperlink" Target="#INFORMES!A1"/><Relationship Id="rId5" Type="http://schemas.openxmlformats.org/officeDocument/2006/relationships/hyperlink" Target="#TITULAR!A1"/><Relationship Id="rId4" Type="http://schemas.microsoft.com/office/2007/relationships/hdphoto" Target="../media/hdphoto2.wdp"/><Relationship Id="rId9" Type="http://schemas.openxmlformats.org/officeDocument/2006/relationships/hyperlink" Target="#TITULAR!C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INFORMES!C1"/><Relationship Id="rId3" Type="http://schemas.openxmlformats.org/officeDocument/2006/relationships/image" Target="../media/image3.png"/><Relationship Id="rId7" Type="http://schemas.openxmlformats.org/officeDocument/2006/relationships/hyperlink" Target="#NOTAS!A1"/><Relationship Id="rId2" Type="http://schemas.openxmlformats.org/officeDocument/2006/relationships/image" Target="../media/image1.png"/><Relationship Id="rId1" Type="http://schemas.openxmlformats.org/officeDocument/2006/relationships/hyperlink" Target="https://www.linkedin.com/in/priscilaraguiar/" TargetMode="External"/><Relationship Id="rId6" Type="http://schemas.openxmlformats.org/officeDocument/2006/relationships/hyperlink" Target="#INFORMES!A1"/><Relationship Id="rId5" Type="http://schemas.openxmlformats.org/officeDocument/2006/relationships/hyperlink" Target="#TITULAR!A1"/><Relationship Id="rId4" Type="http://schemas.microsoft.com/office/2007/relationships/hdphoto" Target="../media/hdphoto2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171450</xdr:colOff>
      <xdr:row>22</xdr:row>
      <xdr:rowOff>50800</xdr:rowOff>
    </xdr:from>
    <xdr:to>
      <xdr:col>0</xdr:col>
      <xdr:colOff>1746251</xdr:colOff>
      <xdr:row>24</xdr:row>
      <xdr:rowOff>117475</xdr:rowOff>
    </xdr:to>
    <xdr:sp macro="" textlink="">
      <xdr:nvSpPr>
        <xdr:cNvPr id="16" name="Retângulo 15">
          <a:extLst>
            <a:ext uri="{FF2B5EF4-FFF2-40B4-BE49-F238E27FC236}">
              <a16:creationId xmlns:a16="http://schemas.microsoft.com/office/drawing/2014/main" id="{93A113A7-009D-4B91-B655-CAF81690F83C}"/>
            </a:ext>
          </a:extLst>
        </xdr:cNvPr>
        <xdr:cNvSpPr/>
      </xdr:nvSpPr>
      <xdr:spPr>
        <a:xfrm>
          <a:off x="171450" y="4584700"/>
          <a:ext cx="1574801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PRH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180975</xdr:colOff>
      <xdr:row>22</xdr:row>
      <xdr:rowOff>60325</xdr:rowOff>
    </xdr:from>
    <xdr:to>
      <xdr:col>0</xdr:col>
      <xdr:colOff>1736725</xdr:colOff>
      <xdr:row>22</xdr:row>
      <xdr:rowOff>60325</xdr:rowOff>
    </xdr:to>
    <xdr:cxnSp macro="">
      <xdr:nvCxnSpPr>
        <xdr:cNvPr id="17" name="Conector reto 16">
          <a:extLst>
            <a:ext uri="{FF2B5EF4-FFF2-40B4-BE49-F238E27FC236}">
              <a16:creationId xmlns:a16="http://schemas.microsoft.com/office/drawing/2014/main" id="{A852C2AF-81FA-4B8B-95B5-9D7E6C86A092}"/>
            </a:ext>
          </a:extLst>
        </xdr:cNvPr>
        <xdr:cNvCxnSpPr/>
      </xdr:nvCxnSpPr>
      <xdr:spPr>
        <a:xfrm>
          <a:off x="180975" y="4594225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786258</xdr:colOff>
      <xdr:row>23</xdr:row>
      <xdr:rowOff>184150</xdr:rowOff>
    </xdr:from>
    <xdr:to>
      <xdr:col>0</xdr:col>
      <xdr:colOff>1131442</xdr:colOff>
      <xdr:row>25</xdr:row>
      <xdr:rowOff>133350</xdr:rowOff>
    </xdr:to>
    <xdr:pic>
      <xdr:nvPicPr>
        <xdr:cNvPr id="18" name="icon_link" descr="Linkedin White Icons – Free Download SVG, PNG, GI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7EF740-8DF9-4A55-877F-4D5332ED0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duotone>
            <a:prstClr val="black"/>
            <a:schemeClr val="accent5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258" y="4908550"/>
          <a:ext cx="345184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133350</xdr:colOff>
      <xdr:row>3</xdr:row>
      <xdr:rowOff>66675</xdr:rowOff>
    </xdr:from>
    <xdr:to>
      <xdr:col>0</xdr:col>
      <xdr:colOff>1828800</xdr:colOff>
      <xdr:row>12</xdr:row>
      <xdr:rowOff>21012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F7F86425-8281-415C-6CF7-37DAE24328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638175"/>
          <a:ext cx="1695450" cy="1840287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171450</xdr:rowOff>
    </xdr:from>
    <xdr:to>
      <xdr:col>1</xdr:col>
      <xdr:colOff>9525</xdr:colOff>
      <xdr:row>3</xdr:row>
      <xdr:rowOff>142875</xdr:rowOff>
    </xdr:to>
    <xdr:sp macro="" textlink="">
      <xdr:nvSpPr>
        <xdr:cNvPr id="26" name="Retângulo 25">
          <a:extLst>
            <a:ext uri="{FF2B5EF4-FFF2-40B4-BE49-F238E27FC236}">
              <a16:creationId xmlns:a16="http://schemas.microsoft.com/office/drawing/2014/main" id="{BF16A92B-1D94-47A5-B72E-55BFDF87F537}"/>
            </a:ext>
          </a:extLst>
        </xdr:cNvPr>
        <xdr:cNvSpPr/>
      </xdr:nvSpPr>
      <xdr:spPr>
        <a:xfrm>
          <a:off x="0" y="171450"/>
          <a:ext cx="2057400" cy="542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7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effectLst>
                <a:glow rad="228600">
                  <a:schemeClr val="accent5">
                    <a:satMod val="175000"/>
                    <a:alpha val="40000"/>
                  </a:schemeClr>
                </a:glow>
              </a:effectLst>
              <a:latin typeface="Arial Black" panose="020B0A04020102020204" pitchFamily="34" charset="0"/>
            </a:rPr>
            <a:t>LION KING </a:t>
          </a:r>
          <a:r>
            <a:rPr lang="pt-BR" sz="1700" b="1">
              <a:gradFill flip="none" rotWithShape="1">
                <a:gsLst>
                  <a:gs pos="0">
                    <a:schemeClr val="bg1"/>
                  </a:gs>
                  <a:gs pos="32000">
                    <a:srgbClr val="EE37BF"/>
                  </a:gs>
                  <a:gs pos="67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effectLst>
                <a:glow rad="228600">
                  <a:schemeClr val="accent5">
                    <a:satMod val="175000"/>
                    <a:alpha val="40000"/>
                  </a:schemeClr>
                </a:glow>
              </a:effectLst>
              <a:latin typeface="Arial Black" panose="020B0A04020102020204" pitchFamily="34" charset="0"/>
            </a:rPr>
            <a:t>APP</a:t>
          </a:r>
        </a:p>
      </xdr:txBody>
    </xdr:sp>
    <xdr:clientData/>
  </xdr:twoCellAnchor>
  <xdr:twoCellAnchor editAs="absolute">
    <xdr:from>
      <xdr:col>0</xdr:col>
      <xdr:colOff>33337</xdr:colOff>
      <xdr:row>13</xdr:row>
      <xdr:rowOff>38100</xdr:rowOff>
    </xdr:from>
    <xdr:to>
      <xdr:col>0</xdr:col>
      <xdr:colOff>1938337</xdr:colOff>
      <xdr:row>14</xdr:row>
      <xdr:rowOff>198437</xdr:rowOff>
    </xdr:to>
    <xdr:sp macro="" textlink="">
      <xdr:nvSpPr>
        <xdr:cNvPr id="27" name="Retângulo: Cantos Arredondados 2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0385013-7438-4186-975F-C0D6763DA05B}"/>
            </a:ext>
          </a:extLst>
        </xdr:cNvPr>
        <xdr:cNvSpPr/>
      </xdr:nvSpPr>
      <xdr:spPr>
        <a:xfrm>
          <a:off x="33337" y="2705100"/>
          <a:ext cx="1905000" cy="369887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33337</xdr:colOff>
      <xdr:row>15</xdr:row>
      <xdr:rowOff>195263</xdr:rowOff>
    </xdr:from>
    <xdr:to>
      <xdr:col>0</xdr:col>
      <xdr:colOff>1938337</xdr:colOff>
      <xdr:row>17</xdr:row>
      <xdr:rowOff>146050</xdr:rowOff>
    </xdr:to>
    <xdr:sp macro="" textlink="">
      <xdr:nvSpPr>
        <xdr:cNvPr id="28" name="Retângulo: Cantos Arredondados 2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6DE8FA7-23DD-453D-9608-A517312BDE93}"/>
            </a:ext>
          </a:extLst>
        </xdr:cNvPr>
        <xdr:cNvSpPr/>
      </xdr:nvSpPr>
      <xdr:spPr>
        <a:xfrm>
          <a:off x="33337" y="3281363"/>
          <a:ext cx="1905000" cy="369887"/>
        </a:xfrm>
        <a:prstGeom prst="roundRect">
          <a:avLst>
            <a:gd name="adj" fmla="val 50000"/>
          </a:avLst>
        </a:prstGeom>
        <a:solidFill>
          <a:srgbClr val="212121">
            <a:alpha val="54902"/>
          </a:srgbClr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33337</xdr:colOff>
      <xdr:row>18</xdr:row>
      <xdr:rowOff>142875</xdr:rowOff>
    </xdr:from>
    <xdr:to>
      <xdr:col>0</xdr:col>
      <xdr:colOff>1938337</xdr:colOff>
      <xdr:row>20</xdr:row>
      <xdr:rowOff>93662</xdr:rowOff>
    </xdr:to>
    <xdr:sp macro="" textlink="">
      <xdr:nvSpPr>
        <xdr:cNvPr id="29" name="Retângulo: Cantos Arredondados 2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CC893F8-F650-4BC8-95B3-ECF2B2103CCB}"/>
            </a:ext>
          </a:extLst>
        </xdr:cNvPr>
        <xdr:cNvSpPr/>
      </xdr:nvSpPr>
      <xdr:spPr>
        <a:xfrm>
          <a:off x="33337" y="3857625"/>
          <a:ext cx="1905000" cy="369887"/>
        </a:xfrm>
        <a:prstGeom prst="roundRect">
          <a:avLst>
            <a:gd name="adj" fmla="val 50000"/>
          </a:avLst>
        </a:prstGeom>
        <a:solidFill>
          <a:srgbClr val="212121">
            <a:alpha val="54902"/>
          </a:srgbClr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3</xdr:col>
      <xdr:colOff>0</xdr:colOff>
      <xdr:row>22</xdr:row>
      <xdr:rowOff>9525</xdr:rowOff>
    </xdr:from>
    <xdr:to>
      <xdr:col>4</xdr:col>
      <xdr:colOff>0</xdr:colOff>
      <xdr:row>24</xdr:row>
      <xdr:rowOff>9525</xdr:rowOff>
    </xdr:to>
    <xdr:sp macro="" textlink="">
      <xdr:nvSpPr>
        <xdr:cNvPr id="31" name="Retângulo 3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DCCEFCD3-3718-92D4-A0C2-9AB2B5D2D46E}"/>
            </a:ext>
          </a:extLst>
        </xdr:cNvPr>
        <xdr:cNvSpPr/>
      </xdr:nvSpPr>
      <xdr:spPr>
        <a:xfrm>
          <a:off x="5610225" y="4543425"/>
          <a:ext cx="2886075" cy="38100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171450</xdr:colOff>
      <xdr:row>22</xdr:row>
      <xdr:rowOff>155575</xdr:rowOff>
    </xdr:from>
    <xdr:to>
      <xdr:col>0</xdr:col>
      <xdr:colOff>1746251</xdr:colOff>
      <xdr:row>24</xdr:row>
      <xdr:rowOff>184150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137C3484-5045-4D32-8540-CE87BDBC20A4}"/>
            </a:ext>
          </a:extLst>
        </xdr:cNvPr>
        <xdr:cNvSpPr/>
      </xdr:nvSpPr>
      <xdr:spPr>
        <a:xfrm>
          <a:off x="171450" y="4584700"/>
          <a:ext cx="1574801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PRH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180975</xdr:colOff>
      <xdr:row>22</xdr:row>
      <xdr:rowOff>165100</xdr:rowOff>
    </xdr:from>
    <xdr:to>
      <xdr:col>0</xdr:col>
      <xdr:colOff>1736725</xdr:colOff>
      <xdr:row>22</xdr:row>
      <xdr:rowOff>165100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id="{E7E43079-C50F-4B23-A3FF-5D5F60DE11BB}"/>
            </a:ext>
          </a:extLst>
        </xdr:cNvPr>
        <xdr:cNvCxnSpPr/>
      </xdr:nvCxnSpPr>
      <xdr:spPr>
        <a:xfrm>
          <a:off x="180975" y="4594225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786258</xdr:colOff>
      <xdr:row>24</xdr:row>
      <xdr:rowOff>60325</xdr:rowOff>
    </xdr:from>
    <xdr:to>
      <xdr:col>0</xdr:col>
      <xdr:colOff>1131442</xdr:colOff>
      <xdr:row>26</xdr:row>
      <xdr:rowOff>9525</xdr:rowOff>
    </xdr:to>
    <xdr:pic>
      <xdr:nvPicPr>
        <xdr:cNvPr id="4" name="icon_link" descr="Linkedin White Icons – Free Download SVG, PNG, GI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DD9874-71E9-4FD8-B7D0-61996A354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duotone>
            <a:prstClr val="black"/>
            <a:schemeClr val="accent5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258" y="4908550"/>
          <a:ext cx="345184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133350</xdr:colOff>
      <xdr:row>3</xdr:row>
      <xdr:rowOff>66675</xdr:rowOff>
    </xdr:from>
    <xdr:to>
      <xdr:col>0</xdr:col>
      <xdr:colOff>1828800</xdr:colOff>
      <xdr:row>12</xdr:row>
      <xdr:rowOff>68637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2A74E7C7-3B24-430A-8387-2224723E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638175"/>
          <a:ext cx="1695450" cy="1840287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171450</xdr:rowOff>
    </xdr:from>
    <xdr:to>
      <xdr:col>1</xdr:col>
      <xdr:colOff>9525</xdr:colOff>
      <xdr:row>3</xdr:row>
      <xdr:rowOff>142875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DCA61F4A-F735-450F-B32D-CA44FECC47BE}"/>
            </a:ext>
          </a:extLst>
        </xdr:cNvPr>
        <xdr:cNvSpPr/>
      </xdr:nvSpPr>
      <xdr:spPr>
        <a:xfrm>
          <a:off x="0" y="171450"/>
          <a:ext cx="2057400" cy="542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7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KING </a:t>
          </a:r>
          <a:r>
            <a:rPr lang="pt-BR" sz="1700" b="1">
              <a:gradFill flip="none" rotWithShape="1">
                <a:gsLst>
                  <a:gs pos="0">
                    <a:schemeClr val="bg1"/>
                  </a:gs>
                  <a:gs pos="32000">
                    <a:srgbClr val="EE37BF"/>
                  </a:gs>
                  <a:gs pos="67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APP</a:t>
          </a:r>
        </a:p>
      </xdr:txBody>
    </xdr:sp>
    <xdr:clientData/>
  </xdr:twoCellAnchor>
  <xdr:twoCellAnchor editAs="absolute">
    <xdr:from>
      <xdr:col>0</xdr:col>
      <xdr:colOff>33337</xdr:colOff>
      <xdr:row>13</xdr:row>
      <xdr:rowOff>85725</xdr:rowOff>
    </xdr:from>
    <xdr:to>
      <xdr:col>0</xdr:col>
      <xdr:colOff>1938337</xdr:colOff>
      <xdr:row>15</xdr:row>
      <xdr:rowOff>55562</xdr:rowOff>
    </xdr:to>
    <xdr:sp macro="" textlink="">
      <xdr:nvSpPr>
        <xdr:cNvPr id="7" name="Retângulo: Cantos Arredondado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F11ED9F-9E36-40B2-89E6-2A92D6DF872D}"/>
            </a:ext>
          </a:extLst>
        </xdr:cNvPr>
        <xdr:cNvSpPr/>
      </xdr:nvSpPr>
      <xdr:spPr>
        <a:xfrm>
          <a:off x="33337" y="2705100"/>
          <a:ext cx="1905000" cy="369887"/>
        </a:xfrm>
        <a:prstGeom prst="roundRect">
          <a:avLst>
            <a:gd name="adj" fmla="val 50000"/>
          </a:avLst>
        </a:prstGeom>
        <a:solidFill>
          <a:srgbClr val="212121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33337</xdr:colOff>
      <xdr:row>16</xdr:row>
      <xdr:rowOff>71438</xdr:rowOff>
    </xdr:from>
    <xdr:to>
      <xdr:col>0</xdr:col>
      <xdr:colOff>1938337</xdr:colOff>
      <xdr:row>18</xdr:row>
      <xdr:rowOff>22225</xdr:rowOff>
    </xdr:to>
    <xdr:sp macro="" textlink="">
      <xdr:nvSpPr>
        <xdr:cNvPr id="8" name="Retângulo: Cantos Arredondados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A6909D5-31B6-49D3-A3CC-060888D8BAB6}"/>
            </a:ext>
          </a:extLst>
        </xdr:cNvPr>
        <xdr:cNvSpPr/>
      </xdr:nvSpPr>
      <xdr:spPr>
        <a:xfrm>
          <a:off x="33337" y="3281363"/>
          <a:ext cx="1905000" cy="369887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33337</xdr:colOff>
      <xdr:row>19</xdr:row>
      <xdr:rowOff>19050</xdr:rowOff>
    </xdr:from>
    <xdr:to>
      <xdr:col>0</xdr:col>
      <xdr:colOff>1938337</xdr:colOff>
      <xdr:row>21</xdr:row>
      <xdr:rowOff>7937</xdr:rowOff>
    </xdr:to>
    <xdr:sp macro="" textlink="">
      <xdr:nvSpPr>
        <xdr:cNvPr id="9" name="Retângulo: Cantos Arredondado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5E1EFFC-DCFF-4625-A6EF-9792110F3DEE}"/>
            </a:ext>
          </a:extLst>
        </xdr:cNvPr>
        <xdr:cNvSpPr/>
      </xdr:nvSpPr>
      <xdr:spPr>
        <a:xfrm>
          <a:off x="33337" y="3857625"/>
          <a:ext cx="1905000" cy="369887"/>
        </a:xfrm>
        <a:prstGeom prst="roundRect">
          <a:avLst>
            <a:gd name="adj" fmla="val 50000"/>
          </a:avLst>
        </a:prstGeom>
        <a:solidFill>
          <a:srgbClr val="212121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3</xdr:col>
      <xdr:colOff>3175</xdr:colOff>
      <xdr:row>25</xdr:row>
      <xdr:rowOff>9525</xdr:rowOff>
    </xdr:from>
    <xdr:to>
      <xdr:col>4</xdr:col>
      <xdr:colOff>22225</xdr:colOff>
      <xdr:row>27</xdr:row>
      <xdr:rowOff>9525</xdr:rowOff>
    </xdr:to>
    <xdr:sp macro="" textlink="">
      <xdr:nvSpPr>
        <xdr:cNvPr id="10" name="Retângulo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DF05AB4-99A3-4F5F-987C-D334DCAACD3E}"/>
            </a:ext>
          </a:extLst>
        </xdr:cNvPr>
        <xdr:cNvSpPr/>
      </xdr:nvSpPr>
      <xdr:spPr>
        <a:xfrm>
          <a:off x="5527675" y="5048250"/>
          <a:ext cx="2886075" cy="38100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absolute">
    <xdr:from>
      <xdr:col>1</xdr:col>
      <xdr:colOff>590550</xdr:colOff>
      <xdr:row>25</xdr:row>
      <xdr:rowOff>9525</xdr:rowOff>
    </xdr:from>
    <xdr:to>
      <xdr:col>3</xdr:col>
      <xdr:colOff>3175</xdr:colOff>
      <xdr:row>27</xdr:row>
      <xdr:rowOff>9525</xdr:rowOff>
    </xdr:to>
    <xdr:sp macro="" textlink="">
      <xdr:nvSpPr>
        <xdr:cNvPr id="11" name="Retângulo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F7FB0C3-F123-45E2-B47D-10994105707F}"/>
            </a:ext>
          </a:extLst>
        </xdr:cNvPr>
        <xdr:cNvSpPr/>
      </xdr:nvSpPr>
      <xdr:spPr>
        <a:xfrm>
          <a:off x="2638425" y="5048250"/>
          <a:ext cx="2889250" cy="38100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&lt;- ANTERIOR </a:t>
          </a:r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171450</xdr:colOff>
      <xdr:row>22</xdr:row>
      <xdr:rowOff>69850</xdr:rowOff>
    </xdr:from>
    <xdr:to>
      <xdr:col>0</xdr:col>
      <xdr:colOff>1746251</xdr:colOff>
      <xdr:row>24</xdr:row>
      <xdr:rowOff>98425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B3D3E887-6B96-4FA6-9BA6-A494E7F5C250}"/>
            </a:ext>
          </a:extLst>
        </xdr:cNvPr>
        <xdr:cNvSpPr/>
      </xdr:nvSpPr>
      <xdr:spPr>
        <a:xfrm>
          <a:off x="171450" y="4584700"/>
          <a:ext cx="1574801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PRH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180975</xdr:colOff>
      <xdr:row>22</xdr:row>
      <xdr:rowOff>79375</xdr:rowOff>
    </xdr:from>
    <xdr:to>
      <xdr:col>0</xdr:col>
      <xdr:colOff>1736725</xdr:colOff>
      <xdr:row>22</xdr:row>
      <xdr:rowOff>79375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id="{AEF6FB60-5AC4-491B-877A-4F38AA1B04F7}"/>
            </a:ext>
          </a:extLst>
        </xdr:cNvPr>
        <xdr:cNvCxnSpPr/>
      </xdr:nvCxnSpPr>
      <xdr:spPr>
        <a:xfrm>
          <a:off x="180975" y="4594225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786258</xdr:colOff>
      <xdr:row>23</xdr:row>
      <xdr:rowOff>184150</xdr:rowOff>
    </xdr:from>
    <xdr:to>
      <xdr:col>0</xdr:col>
      <xdr:colOff>1131442</xdr:colOff>
      <xdr:row>25</xdr:row>
      <xdr:rowOff>95250</xdr:rowOff>
    </xdr:to>
    <xdr:pic>
      <xdr:nvPicPr>
        <xdr:cNvPr id="4" name="icon_link" descr="Linkedin White Icons – Free Download SVG, PNG, GI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28CFC2-30A0-49C8-8083-A009E180F2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duotone>
            <a:prstClr val="black"/>
            <a:schemeClr val="accent5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258" y="4908550"/>
          <a:ext cx="345184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133350</xdr:colOff>
      <xdr:row>3</xdr:row>
      <xdr:rowOff>66675</xdr:rowOff>
    </xdr:from>
    <xdr:to>
      <xdr:col>0</xdr:col>
      <xdr:colOff>1828800</xdr:colOff>
      <xdr:row>12</xdr:row>
      <xdr:rowOff>59112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1C31B8-897F-40AD-81D8-EFFFEE040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638175"/>
          <a:ext cx="1695450" cy="1840287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171450</xdr:rowOff>
    </xdr:from>
    <xdr:to>
      <xdr:col>1</xdr:col>
      <xdr:colOff>9525</xdr:colOff>
      <xdr:row>3</xdr:row>
      <xdr:rowOff>142875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24D64990-0573-46CF-8128-206F483A4E1D}"/>
            </a:ext>
          </a:extLst>
        </xdr:cNvPr>
        <xdr:cNvSpPr/>
      </xdr:nvSpPr>
      <xdr:spPr>
        <a:xfrm>
          <a:off x="0" y="171450"/>
          <a:ext cx="2057400" cy="542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7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KING </a:t>
          </a:r>
          <a:r>
            <a:rPr lang="pt-BR" sz="1700" b="1">
              <a:gradFill flip="none" rotWithShape="1">
                <a:gsLst>
                  <a:gs pos="0">
                    <a:schemeClr val="bg1"/>
                  </a:gs>
                  <a:gs pos="32000">
                    <a:srgbClr val="EE37BF"/>
                  </a:gs>
                  <a:gs pos="67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APP</a:t>
          </a:r>
        </a:p>
      </xdr:txBody>
    </xdr:sp>
    <xdr:clientData/>
  </xdr:twoCellAnchor>
  <xdr:twoCellAnchor editAs="absolute">
    <xdr:from>
      <xdr:col>0</xdr:col>
      <xdr:colOff>33337</xdr:colOff>
      <xdr:row>13</xdr:row>
      <xdr:rowOff>76200</xdr:rowOff>
    </xdr:from>
    <xdr:to>
      <xdr:col>0</xdr:col>
      <xdr:colOff>1938337</xdr:colOff>
      <xdr:row>15</xdr:row>
      <xdr:rowOff>26987</xdr:rowOff>
    </xdr:to>
    <xdr:sp macro="" textlink="">
      <xdr:nvSpPr>
        <xdr:cNvPr id="7" name="Retângulo: Cantos Arredondado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BBD6740-9BC4-454B-A82C-D6A8DCCBF0B2}"/>
            </a:ext>
          </a:extLst>
        </xdr:cNvPr>
        <xdr:cNvSpPr/>
      </xdr:nvSpPr>
      <xdr:spPr>
        <a:xfrm>
          <a:off x="33337" y="2705100"/>
          <a:ext cx="1905000" cy="369887"/>
        </a:xfrm>
        <a:prstGeom prst="roundRect">
          <a:avLst>
            <a:gd name="adj" fmla="val 50000"/>
          </a:avLst>
        </a:prstGeom>
        <a:solidFill>
          <a:srgbClr val="212121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33337</xdr:colOff>
      <xdr:row>16</xdr:row>
      <xdr:rowOff>23813</xdr:rowOff>
    </xdr:from>
    <xdr:to>
      <xdr:col>0</xdr:col>
      <xdr:colOff>1938337</xdr:colOff>
      <xdr:row>17</xdr:row>
      <xdr:rowOff>184150</xdr:rowOff>
    </xdr:to>
    <xdr:sp macro="" textlink="">
      <xdr:nvSpPr>
        <xdr:cNvPr id="8" name="Retângulo: Cantos Arredondados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7BD8207-8748-4009-AF3A-1E96AD895E84}"/>
            </a:ext>
          </a:extLst>
        </xdr:cNvPr>
        <xdr:cNvSpPr/>
      </xdr:nvSpPr>
      <xdr:spPr>
        <a:xfrm>
          <a:off x="33337" y="3281363"/>
          <a:ext cx="1905000" cy="369887"/>
        </a:xfrm>
        <a:prstGeom prst="roundRect">
          <a:avLst>
            <a:gd name="adj" fmla="val 50000"/>
          </a:avLst>
        </a:prstGeom>
        <a:solidFill>
          <a:srgbClr val="212121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33337</xdr:colOff>
      <xdr:row>18</xdr:row>
      <xdr:rowOff>180975</xdr:rowOff>
    </xdr:from>
    <xdr:to>
      <xdr:col>0</xdr:col>
      <xdr:colOff>1938337</xdr:colOff>
      <xdr:row>20</xdr:row>
      <xdr:rowOff>131762</xdr:rowOff>
    </xdr:to>
    <xdr:sp macro="" textlink="">
      <xdr:nvSpPr>
        <xdr:cNvPr id="9" name="Retângulo: Cantos Arredondado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9410931-CF45-4875-944D-CFCE985E121A}"/>
            </a:ext>
          </a:extLst>
        </xdr:cNvPr>
        <xdr:cNvSpPr/>
      </xdr:nvSpPr>
      <xdr:spPr>
        <a:xfrm>
          <a:off x="33337" y="3857625"/>
          <a:ext cx="1905000" cy="369887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2</xdr:col>
      <xdr:colOff>19050</xdr:colOff>
      <xdr:row>7</xdr:row>
      <xdr:rowOff>0</xdr:rowOff>
    </xdr:from>
    <xdr:to>
      <xdr:col>2</xdr:col>
      <xdr:colOff>1209675</xdr:colOff>
      <xdr:row>7</xdr:row>
      <xdr:rowOff>171450</xdr:rowOff>
    </xdr:to>
    <xdr:sp macro="" textlink="">
      <xdr:nvSpPr>
        <xdr:cNvPr id="10" name="Retângulo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8FD5774-A3F1-4CB8-843E-CE2B80890607}"/>
            </a:ext>
          </a:extLst>
        </xdr:cNvPr>
        <xdr:cNvSpPr/>
      </xdr:nvSpPr>
      <xdr:spPr>
        <a:xfrm>
          <a:off x="2676525" y="1409700"/>
          <a:ext cx="1190625" cy="1714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aseline="0"/>
            <a:t>&lt;- ANTERIOR </a:t>
          </a:r>
          <a:endParaRPr lang="pt-BR" sz="10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25CC8F-3D13-49D4-B656-5259017246B4}" name="Tabela1" displayName="Tabela1" ref="C10:E38" totalsRowCount="1" headerRowDxfId="7" dataDxfId="6">
  <autoFilter ref="C10:E37" xr:uid="{DE25CC8F-3D13-49D4-B656-5259017246B4}"/>
  <tableColumns count="3">
    <tableColumn id="1" xr3:uid="{AA35E253-9EAD-4106-9B08-7C655CEC4116}" name="DATA" totalsRowLabel="Total" dataDxfId="2" totalsRowDxfId="5"/>
    <tableColumn id="2" xr3:uid="{33ADB81B-7685-4157-8053-CD33FA45041D}" name="CATEGORIA" dataDxfId="1" totalsRowDxfId="4"/>
    <tableColumn id="3" xr3:uid="{243658D2-F45E-4649-8434-3B1996151F92}" name="VALOR" totalsRowFunction="sum" dataDxfId="0" totalsRowDxfId="3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FULANO@dio.m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2E9D4-886C-4DA3-A2EC-A9EE5F48823A}">
  <dimension ref="A1:E21"/>
  <sheetViews>
    <sheetView showGridLines="0" showRowColHeaders="0" tabSelected="1" zoomScale="90" zoomScaleNormal="90" workbookViewId="0">
      <selection activeCell="D20" sqref="D20"/>
    </sheetView>
  </sheetViews>
  <sheetFormatPr defaultRowHeight="15" x14ac:dyDescent="0.25"/>
  <cols>
    <col min="1" max="1" width="30.7109375" style="1" customWidth="1"/>
    <col min="3" max="3" width="44.28515625" bestFit="1" customWidth="1"/>
    <col min="4" max="4" width="43.28515625" customWidth="1"/>
  </cols>
  <sheetData>
    <row r="1" spans="1:5" x14ac:dyDescent="0.25">
      <c r="A1" s="1" t="s">
        <v>0</v>
      </c>
    </row>
    <row r="5" spans="1:5" ht="20.25" thickBot="1" x14ac:dyDescent="0.35">
      <c r="C5" s="2" t="s">
        <v>1</v>
      </c>
      <c r="D5" s="3"/>
      <c r="E5" s="3"/>
    </row>
    <row r="6" spans="1:5" ht="15.75" thickTop="1" x14ac:dyDescent="0.25">
      <c r="C6" s="4" t="s">
        <v>2</v>
      </c>
      <c r="D6" s="4"/>
      <c r="E6" s="4"/>
    </row>
    <row r="8" spans="1:5" ht="16.5" x14ac:dyDescent="0.3">
      <c r="C8" s="5" t="s">
        <v>3</v>
      </c>
      <c r="D8" s="14" t="s">
        <v>89</v>
      </c>
    </row>
    <row r="9" spans="1:5" ht="16.5" x14ac:dyDescent="0.3">
      <c r="C9" s="5" t="s">
        <v>4</v>
      </c>
      <c r="D9" s="15">
        <v>12312312398</v>
      </c>
    </row>
    <row r="10" spans="1:5" ht="16.5" x14ac:dyDescent="0.3">
      <c r="C10" s="5" t="s">
        <v>5</v>
      </c>
      <c r="D10" s="16" t="s">
        <v>92</v>
      </c>
    </row>
    <row r="11" spans="1:5" ht="16.5" x14ac:dyDescent="0.3">
      <c r="C11" s="5" t="s">
        <v>6</v>
      </c>
      <c r="D11" s="14">
        <v>31713388</v>
      </c>
    </row>
    <row r="12" spans="1:5" ht="16.5" x14ac:dyDescent="0.3">
      <c r="C12" s="5" t="s">
        <v>7</v>
      </c>
      <c r="D12" s="14" t="s">
        <v>90</v>
      </c>
    </row>
    <row r="13" spans="1:5" ht="16.5" x14ac:dyDescent="0.3">
      <c r="C13" s="5" t="s">
        <v>8</v>
      </c>
      <c r="D13" s="14" t="s">
        <v>9</v>
      </c>
    </row>
    <row r="14" spans="1:5" ht="16.5" x14ac:dyDescent="0.3">
      <c r="C14" s="5" t="s">
        <v>10</v>
      </c>
      <c r="D14" s="14" t="s">
        <v>11</v>
      </c>
    </row>
    <row r="15" spans="1:5" ht="16.5" x14ac:dyDescent="0.3">
      <c r="C15" s="5" t="s">
        <v>12</v>
      </c>
      <c r="D15" s="17">
        <v>987654321</v>
      </c>
    </row>
    <row r="16" spans="1:5" ht="16.5" x14ac:dyDescent="0.3">
      <c r="C16" s="5" t="s">
        <v>13</v>
      </c>
      <c r="D16" s="18">
        <v>1112345678</v>
      </c>
    </row>
    <row r="17" spans="3:4" ht="16.5" x14ac:dyDescent="0.3">
      <c r="C17" s="5" t="s">
        <v>14</v>
      </c>
      <c r="D17" s="19">
        <v>11528647345</v>
      </c>
    </row>
    <row r="18" spans="3:4" ht="16.5" x14ac:dyDescent="0.3">
      <c r="C18" s="5" t="s">
        <v>15</v>
      </c>
      <c r="D18" s="23" t="s">
        <v>91</v>
      </c>
    </row>
    <row r="19" spans="3:4" ht="16.5" x14ac:dyDescent="0.3">
      <c r="C19" s="5" t="s">
        <v>16</v>
      </c>
      <c r="D19" s="14" t="s">
        <v>17</v>
      </c>
    </row>
    <row r="20" spans="3:4" ht="16.5" x14ac:dyDescent="0.3">
      <c r="C20" s="5" t="s">
        <v>18</v>
      </c>
      <c r="D20" s="14" t="s">
        <v>19</v>
      </c>
    </row>
    <row r="21" spans="3:4" ht="16.5" x14ac:dyDescent="0.3">
      <c r="C21" s="5" t="s">
        <v>20</v>
      </c>
      <c r="D21" s="14" t="s">
        <v>19</v>
      </c>
    </row>
  </sheetData>
  <sheetProtection sheet="1" objects="1" scenarios="1" selectLockedCells="1"/>
  <mergeCells count="1">
    <mergeCell ref="C6:E6"/>
  </mergeCells>
  <dataValidations count="1">
    <dataValidation type="list" allowBlank="1" showInputMessage="1" showErrorMessage="1" sqref="D19:D21" xr:uid="{C34AFBA6-99AC-4A8F-A2E8-017D29A04F23}">
      <formula1>"SIM,NÃO"</formula1>
    </dataValidation>
  </dataValidations>
  <hyperlinks>
    <hyperlink ref="D18" r:id="rId1" xr:uid="{50392425-42F7-4654-9272-BD145E2EA287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89634-E4D8-4D30-98E4-361C1B927D10}">
  <dimension ref="A1:E24"/>
  <sheetViews>
    <sheetView showGridLines="0" zoomScale="90" zoomScaleNormal="90" workbookViewId="0">
      <selection activeCell="D18" sqref="D18"/>
    </sheetView>
  </sheetViews>
  <sheetFormatPr defaultRowHeight="15" x14ac:dyDescent="0.25"/>
  <cols>
    <col min="1" max="1" width="30.7109375" style="1" customWidth="1"/>
    <col min="3" max="4" width="43" customWidth="1"/>
  </cols>
  <sheetData>
    <row r="1" spans="1:5" x14ac:dyDescent="0.25">
      <c r="A1" s="1" t="s">
        <v>0</v>
      </c>
    </row>
    <row r="5" spans="1:5" ht="20.25" thickBot="1" x14ac:dyDescent="0.35">
      <c r="C5" s="2" t="s">
        <v>21</v>
      </c>
      <c r="D5" s="3"/>
      <c r="E5" s="3"/>
    </row>
    <row r="6" spans="1:5" ht="15.75" thickTop="1" x14ac:dyDescent="0.25">
      <c r="C6" s="4" t="s">
        <v>22</v>
      </c>
      <c r="D6" s="4"/>
      <c r="E6" s="4"/>
    </row>
    <row r="8" spans="1:5" ht="16.5" x14ac:dyDescent="0.3">
      <c r="C8" s="6" t="s">
        <v>23</v>
      </c>
    </row>
    <row r="9" spans="1:5" ht="15.75" x14ac:dyDescent="0.25">
      <c r="C9" s="20">
        <f>SUM(D13,D18,D23)</f>
        <v>58377777</v>
      </c>
      <c r="D9" s="21"/>
    </row>
    <row r="11" spans="1:5" x14ac:dyDescent="0.25">
      <c r="C11" s="7" t="s">
        <v>24</v>
      </c>
    </row>
    <row r="12" spans="1:5" ht="16.5" x14ac:dyDescent="0.3">
      <c r="C12" s="5" t="s">
        <v>25</v>
      </c>
      <c r="D12" s="14" t="s">
        <v>26</v>
      </c>
    </row>
    <row r="13" spans="1:5" ht="16.5" x14ac:dyDescent="0.3">
      <c r="C13" s="5" t="s">
        <v>27</v>
      </c>
      <c r="D13" s="22">
        <v>500000</v>
      </c>
    </row>
    <row r="14" spans="1:5" ht="16.5" x14ac:dyDescent="0.3">
      <c r="C14" s="5" t="s">
        <v>28</v>
      </c>
      <c r="D14" s="14" t="s">
        <v>29</v>
      </c>
    </row>
    <row r="16" spans="1:5" x14ac:dyDescent="0.25">
      <c r="C16" s="7" t="s">
        <v>30</v>
      </c>
    </row>
    <row r="17" spans="3:4" ht="16.5" x14ac:dyDescent="0.3">
      <c r="C17" s="5" t="s">
        <v>25</v>
      </c>
      <c r="D17" s="14" t="s">
        <v>31</v>
      </c>
    </row>
    <row r="18" spans="3:4" ht="16.5" x14ac:dyDescent="0.3">
      <c r="C18" s="5" t="s">
        <v>27</v>
      </c>
      <c r="D18" s="22">
        <v>1312312</v>
      </c>
    </row>
    <row r="19" spans="3:4" ht="16.5" x14ac:dyDescent="0.3">
      <c r="C19" s="5" t="s">
        <v>28</v>
      </c>
      <c r="D19" s="14" t="s">
        <v>29</v>
      </c>
    </row>
    <row r="21" spans="3:4" x14ac:dyDescent="0.25">
      <c r="C21" s="7" t="s">
        <v>32</v>
      </c>
    </row>
    <row r="22" spans="3:4" ht="16.5" x14ac:dyDescent="0.3">
      <c r="C22" s="5" t="s">
        <v>25</v>
      </c>
      <c r="D22" s="14" t="s">
        <v>42</v>
      </c>
    </row>
    <row r="23" spans="3:4" ht="16.5" x14ac:dyDescent="0.3">
      <c r="C23" s="5" t="s">
        <v>27</v>
      </c>
      <c r="D23" s="22">
        <v>56565465</v>
      </c>
    </row>
    <row r="24" spans="3:4" ht="16.5" x14ac:dyDescent="0.3">
      <c r="C24" s="5" t="s">
        <v>28</v>
      </c>
      <c r="D24" s="14" t="s">
        <v>29</v>
      </c>
    </row>
  </sheetData>
  <sheetProtection sheet="1" objects="1" scenarios="1" selectLockedCells="1"/>
  <mergeCells count="2">
    <mergeCell ref="C6:E6"/>
    <mergeCell ref="C9:D9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Title="ERRO" error="Banco não encontrado!" prompt="Informe um banco vinculado ao seu cpf" xr:uid="{CC654D8D-AF85-4C9C-B848-028A8F7536AF}">
          <x14:formula1>
            <xm:f>'BD Bancos'!$A:$A</xm:f>
          </x14:formula1>
          <xm:sqref>D22</xm:sqref>
        </x14:dataValidation>
        <x14:dataValidation type="list" allowBlank="1" showInputMessage="1" showErrorMessage="1" errorTitle="ERRO" error="Banco não encontrado!" prompt="Informe um banco vinculado ao seu cpf" xr:uid="{0EA5CA01-06E6-4D60-97D4-832955EE33D6}">
          <x14:formula1>
            <xm:f>'BD Bancos'!$A:$A</xm:f>
          </x14:formula1>
          <xm:sqref>D17</xm:sqref>
        </x14:dataValidation>
        <x14:dataValidation type="list" allowBlank="1" showInputMessage="1" showErrorMessage="1" errorTitle="ERRO" error="Banco não encontrado!" prompt="Informe um banco vinculado ao seu cpf" xr:uid="{0F25B5FA-747D-42BD-B0E5-539D3DA97738}">
          <x14:formula1>
            <xm:f>'BD Bancos'!$A:$A</xm:f>
          </x14:formula1>
          <xm:sqref>D12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8E77C-CB50-47FD-B6DC-3DFEB11DA2DB}">
  <dimension ref="A1:E38"/>
  <sheetViews>
    <sheetView showGridLines="0" showRowColHeaders="0" zoomScale="90" zoomScaleNormal="90" workbookViewId="0">
      <selection activeCell="D27" sqref="D27"/>
    </sheetView>
  </sheetViews>
  <sheetFormatPr defaultRowHeight="15" x14ac:dyDescent="0.25"/>
  <cols>
    <col min="1" max="1" width="30.7109375" style="1" customWidth="1"/>
    <col min="3" max="5" width="22.7109375" customWidth="1"/>
  </cols>
  <sheetData>
    <row r="1" spans="1:5" x14ac:dyDescent="0.25">
      <c r="A1" s="1" t="s">
        <v>0</v>
      </c>
    </row>
    <row r="5" spans="1:5" ht="20.25" thickBot="1" x14ac:dyDescent="0.35">
      <c r="C5" s="2" t="s">
        <v>33</v>
      </c>
      <c r="D5" s="3"/>
      <c r="E5" s="3"/>
    </row>
    <row r="6" spans="1:5" ht="15.75" thickTop="1" x14ac:dyDescent="0.25">
      <c r="C6" s="4" t="s">
        <v>34</v>
      </c>
      <c r="D6" s="4"/>
      <c r="E6" s="4"/>
    </row>
    <row r="9" spans="1:5" ht="16.5" x14ac:dyDescent="0.3">
      <c r="C9" s="8" t="s">
        <v>35</v>
      </c>
      <c r="D9" s="8"/>
      <c r="E9" s="8"/>
    </row>
    <row r="10" spans="1:5" x14ac:dyDescent="0.25">
      <c r="C10" s="9" t="s">
        <v>36</v>
      </c>
      <c r="D10" s="9" t="s">
        <v>37</v>
      </c>
      <c r="E10" s="9" t="s">
        <v>38</v>
      </c>
    </row>
    <row r="11" spans="1:5" ht="16.5" x14ac:dyDescent="0.3">
      <c r="C11" s="10">
        <v>45775</v>
      </c>
      <c r="D11" s="11" t="s">
        <v>39</v>
      </c>
      <c r="E11" s="12">
        <v>3000</v>
      </c>
    </row>
    <row r="12" spans="1:5" ht="16.5" x14ac:dyDescent="0.3">
      <c r="C12" s="10">
        <v>45776</v>
      </c>
      <c r="D12" s="11" t="s">
        <v>93</v>
      </c>
      <c r="E12" s="12">
        <v>7729.9975775630091</v>
      </c>
    </row>
    <row r="13" spans="1:5" ht="16.5" x14ac:dyDescent="0.3">
      <c r="C13" s="10">
        <v>45777</v>
      </c>
      <c r="D13" s="11" t="s">
        <v>94</v>
      </c>
      <c r="E13" s="12">
        <v>6446.7898648667042</v>
      </c>
    </row>
    <row r="14" spans="1:5" ht="16.5" x14ac:dyDescent="0.3">
      <c r="C14" s="10">
        <v>45778</v>
      </c>
      <c r="D14" s="11" t="s">
        <v>39</v>
      </c>
      <c r="E14" s="12">
        <v>4674.8401987009565</v>
      </c>
    </row>
    <row r="15" spans="1:5" ht="16.5" x14ac:dyDescent="0.3">
      <c r="C15" s="10">
        <v>45779</v>
      </c>
      <c r="D15" s="11" t="s">
        <v>93</v>
      </c>
      <c r="E15" s="12">
        <v>315.38402161725321</v>
      </c>
    </row>
    <row r="16" spans="1:5" ht="16.5" x14ac:dyDescent="0.3">
      <c r="C16" s="10">
        <v>45780</v>
      </c>
      <c r="D16" s="11" t="s">
        <v>94</v>
      </c>
      <c r="E16" s="12">
        <v>3778.2592740787513</v>
      </c>
    </row>
    <row r="17" spans="3:5" ht="16.5" x14ac:dyDescent="0.3">
      <c r="C17" s="10">
        <v>45812</v>
      </c>
      <c r="D17" s="11" t="s">
        <v>39</v>
      </c>
      <c r="E17" s="12">
        <v>1912.7863154428283</v>
      </c>
    </row>
    <row r="18" spans="3:5" ht="16.5" x14ac:dyDescent="0.3">
      <c r="C18" s="10">
        <v>45782</v>
      </c>
      <c r="D18" s="11" t="s">
        <v>93</v>
      </c>
      <c r="E18" s="12">
        <v>8347.9193583659799</v>
      </c>
    </row>
    <row r="19" spans="3:5" ht="16.5" x14ac:dyDescent="0.3">
      <c r="C19" s="10">
        <v>45783</v>
      </c>
      <c r="D19" s="11" t="s">
        <v>94</v>
      </c>
      <c r="E19" s="12">
        <v>4853.7175292479769</v>
      </c>
    </row>
    <row r="20" spans="3:5" ht="16.5" x14ac:dyDescent="0.3">
      <c r="C20" s="10">
        <v>45876</v>
      </c>
      <c r="D20" s="11" t="s">
        <v>39</v>
      </c>
      <c r="E20" s="12">
        <v>5759.451100889537</v>
      </c>
    </row>
    <row r="21" spans="3:5" ht="16.5" x14ac:dyDescent="0.3">
      <c r="C21" s="10">
        <v>45785</v>
      </c>
      <c r="D21" s="11" t="s">
        <v>93</v>
      </c>
      <c r="E21" s="12">
        <v>5331.9158913496531</v>
      </c>
    </row>
    <row r="22" spans="3:5" ht="16.5" x14ac:dyDescent="0.3">
      <c r="C22" s="10">
        <v>45786</v>
      </c>
      <c r="D22" s="11" t="s">
        <v>94</v>
      </c>
      <c r="E22" s="12">
        <v>9768.772126493277</v>
      </c>
    </row>
    <row r="23" spans="3:5" ht="16.5" x14ac:dyDescent="0.3">
      <c r="C23" s="10"/>
      <c r="D23" s="11"/>
      <c r="E23" s="12"/>
    </row>
    <row r="24" spans="3:5" ht="16.5" x14ac:dyDescent="0.3">
      <c r="C24" s="10"/>
      <c r="D24" s="11"/>
      <c r="E24" s="12"/>
    </row>
    <row r="25" spans="3:5" ht="16.5" x14ac:dyDescent="0.3">
      <c r="C25" s="10"/>
      <c r="D25" s="11"/>
      <c r="E25" s="12"/>
    </row>
    <row r="26" spans="3:5" ht="16.5" x14ac:dyDescent="0.3">
      <c r="C26" s="10"/>
      <c r="D26" s="11"/>
      <c r="E26" s="12"/>
    </row>
    <row r="27" spans="3:5" ht="16.5" x14ac:dyDescent="0.3">
      <c r="C27" s="10"/>
      <c r="D27" s="11"/>
      <c r="E27" s="12"/>
    </row>
    <row r="28" spans="3:5" ht="16.5" x14ac:dyDescent="0.3">
      <c r="C28" s="10"/>
      <c r="D28" s="11"/>
      <c r="E28" s="12"/>
    </row>
    <row r="29" spans="3:5" ht="16.5" x14ac:dyDescent="0.3">
      <c r="C29" s="10"/>
      <c r="D29" s="11"/>
      <c r="E29" s="12"/>
    </row>
    <row r="30" spans="3:5" ht="16.5" x14ac:dyDescent="0.3">
      <c r="C30" s="10"/>
      <c r="D30" s="11"/>
      <c r="E30" s="12"/>
    </row>
    <row r="31" spans="3:5" ht="16.5" x14ac:dyDescent="0.3">
      <c r="C31" s="10"/>
      <c r="D31" s="11"/>
      <c r="E31" s="12"/>
    </row>
    <row r="32" spans="3:5" ht="16.5" x14ac:dyDescent="0.3">
      <c r="C32" s="10"/>
      <c r="D32" s="11"/>
      <c r="E32" s="12"/>
    </row>
    <row r="33" spans="3:5" ht="16.5" x14ac:dyDescent="0.3">
      <c r="C33" s="10"/>
      <c r="D33" s="11"/>
      <c r="E33" s="12"/>
    </row>
    <row r="34" spans="3:5" ht="16.5" x14ac:dyDescent="0.3">
      <c r="C34" s="10"/>
      <c r="D34" s="11"/>
      <c r="E34" s="12"/>
    </row>
    <row r="35" spans="3:5" ht="16.5" x14ac:dyDescent="0.3">
      <c r="C35" s="10"/>
      <c r="D35" s="11"/>
      <c r="E35" s="12"/>
    </row>
    <row r="36" spans="3:5" ht="16.5" x14ac:dyDescent="0.3">
      <c r="C36" s="10"/>
      <c r="D36" s="11"/>
      <c r="E36" s="12"/>
    </row>
    <row r="37" spans="3:5" ht="16.5" x14ac:dyDescent="0.3">
      <c r="C37" s="10"/>
      <c r="D37" s="11"/>
      <c r="E37" s="12"/>
    </row>
    <row r="38" spans="3:5" ht="16.5" x14ac:dyDescent="0.3">
      <c r="C38" s="11" t="s">
        <v>95</v>
      </c>
      <c r="D38" s="11"/>
      <c r="E38" s="12">
        <f>SUBTOTAL(109,Tabela1[VALOR])</f>
        <v>61919.833258615923</v>
      </c>
    </row>
  </sheetData>
  <sheetProtection sheet="1" objects="1" scenarios="1" selectLockedCells="1"/>
  <mergeCells count="2">
    <mergeCell ref="C6:E6"/>
    <mergeCell ref="C9:E9"/>
  </mergeCells>
  <dataValidations count="1">
    <dataValidation type="list" allowBlank="1" showInputMessage="1" showErrorMessage="1" sqref="D11:D37" xr:uid="{5F97D832-1BFB-4CD9-8E62-A9FF2A0F274A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29C5E-A387-43A0-9108-34313D7188CF}">
  <dimension ref="A1:A51"/>
  <sheetViews>
    <sheetView workbookViewId="0">
      <selection activeCell="F22" sqref="F22"/>
    </sheetView>
  </sheetViews>
  <sheetFormatPr defaultRowHeight="15" x14ac:dyDescent="0.25"/>
  <sheetData>
    <row r="1" spans="1:1" x14ac:dyDescent="0.25">
      <c r="A1" s="13" t="s">
        <v>40</v>
      </c>
    </row>
    <row r="2" spans="1:1" x14ac:dyDescent="0.25">
      <c r="A2" s="13" t="s">
        <v>41</v>
      </c>
    </row>
    <row r="3" spans="1:1" x14ac:dyDescent="0.25">
      <c r="A3" s="13" t="s">
        <v>42</v>
      </c>
    </row>
    <row r="4" spans="1:1" x14ac:dyDescent="0.25">
      <c r="A4" s="13" t="s">
        <v>43</v>
      </c>
    </row>
    <row r="5" spans="1:1" x14ac:dyDescent="0.25">
      <c r="A5" s="13" t="s">
        <v>44</v>
      </c>
    </row>
    <row r="6" spans="1:1" x14ac:dyDescent="0.25">
      <c r="A6" s="13" t="s">
        <v>45</v>
      </c>
    </row>
    <row r="7" spans="1:1" x14ac:dyDescent="0.25">
      <c r="A7" s="13" t="s">
        <v>46</v>
      </c>
    </row>
    <row r="8" spans="1:1" x14ac:dyDescent="0.25">
      <c r="A8" s="13" t="s">
        <v>47</v>
      </c>
    </row>
    <row r="9" spans="1:1" x14ac:dyDescent="0.25">
      <c r="A9" s="13" t="s">
        <v>48</v>
      </c>
    </row>
    <row r="10" spans="1:1" x14ac:dyDescent="0.25">
      <c r="A10" s="13" t="s">
        <v>49</v>
      </c>
    </row>
    <row r="11" spans="1:1" x14ac:dyDescent="0.25">
      <c r="A11" s="13" t="s">
        <v>50</v>
      </c>
    </row>
    <row r="12" spans="1:1" x14ac:dyDescent="0.25">
      <c r="A12" s="13" t="s">
        <v>51</v>
      </c>
    </row>
    <row r="13" spans="1:1" x14ac:dyDescent="0.25">
      <c r="A13" s="13" t="s">
        <v>52</v>
      </c>
    </row>
    <row r="14" spans="1:1" x14ac:dyDescent="0.25">
      <c r="A14" s="13" t="s">
        <v>53</v>
      </c>
    </row>
    <row r="15" spans="1:1" x14ac:dyDescent="0.25">
      <c r="A15" s="13" t="s">
        <v>54</v>
      </c>
    </row>
    <row r="16" spans="1:1" x14ac:dyDescent="0.25">
      <c r="A16" s="13" t="s">
        <v>55</v>
      </c>
    </row>
    <row r="17" spans="1:1" x14ac:dyDescent="0.25">
      <c r="A17" s="13" t="s">
        <v>56</v>
      </c>
    </row>
    <row r="18" spans="1:1" x14ac:dyDescent="0.25">
      <c r="A18" s="13" t="s">
        <v>57</v>
      </c>
    </row>
    <row r="19" spans="1:1" x14ac:dyDescent="0.25">
      <c r="A19" s="13" t="s">
        <v>58</v>
      </c>
    </row>
    <row r="20" spans="1:1" x14ac:dyDescent="0.25">
      <c r="A20" s="13" t="s">
        <v>31</v>
      </c>
    </row>
    <row r="21" spans="1:1" x14ac:dyDescent="0.25">
      <c r="A21" s="13" t="s">
        <v>26</v>
      </c>
    </row>
    <row r="22" spans="1:1" x14ac:dyDescent="0.25">
      <c r="A22" s="13" t="s">
        <v>59</v>
      </c>
    </row>
    <row r="23" spans="1:1" x14ac:dyDescent="0.25">
      <c r="A23" s="13" t="s">
        <v>60</v>
      </c>
    </row>
    <row r="24" spans="1:1" x14ac:dyDescent="0.25">
      <c r="A24" s="13" t="s">
        <v>61</v>
      </c>
    </row>
    <row r="25" spans="1:1" x14ac:dyDescent="0.25">
      <c r="A25" s="13" t="s">
        <v>62</v>
      </c>
    </row>
    <row r="26" spans="1:1" x14ac:dyDescent="0.25">
      <c r="A26" s="13" t="s">
        <v>63</v>
      </c>
    </row>
    <row r="27" spans="1:1" x14ac:dyDescent="0.25">
      <c r="A27" s="13" t="s">
        <v>64</v>
      </c>
    </row>
    <row r="28" spans="1:1" x14ac:dyDescent="0.25">
      <c r="A28" s="13" t="s">
        <v>65</v>
      </c>
    </row>
    <row r="29" spans="1:1" x14ac:dyDescent="0.25">
      <c r="A29" s="13" t="s">
        <v>66</v>
      </c>
    </row>
    <row r="30" spans="1:1" x14ac:dyDescent="0.25">
      <c r="A30" s="13" t="s">
        <v>67</v>
      </c>
    </row>
    <row r="31" spans="1:1" x14ac:dyDescent="0.25">
      <c r="A31" s="13" t="s">
        <v>68</v>
      </c>
    </row>
    <row r="32" spans="1:1" x14ac:dyDescent="0.25">
      <c r="A32" s="13" t="s">
        <v>69</v>
      </c>
    </row>
    <row r="33" spans="1:1" x14ac:dyDescent="0.25">
      <c r="A33" s="13" t="s">
        <v>70</v>
      </c>
    </row>
    <row r="34" spans="1:1" x14ac:dyDescent="0.25">
      <c r="A34" s="13" t="s">
        <v>71</v>
      </c>
    </row>
    <row r="35" spans="1:1" x14ac:dyDescent="0.25">
      <c r="A35" s="13" t="s">
        <v>72</v>
      </c>
    </row>
    <row r="36" spans="1:1" x14ac:dyDescent="0.25">
      <c r="A36" s="13" t="s">
        <v>73</v>
      </c>
    </row>
    <row r="37" spans="1:1" x14ac:dyDescent="0.25">
      <c r="A37" s="13" t="s">
        <v>74</v>
      </c>
    </row>
    <row r="38" spans="1:1" x14ac:dyDescent="0.25">
      <c r="A38" s="13" t="s">
        <v>75</v>
      </c>
    </row>
    <row r="39" spans="1:1" x14ac:dyDescent="0.25">
      <c r="A39" s="13" t="s">
        <v>76</v>
      </c>
    </row>
    <row r="40" spans="1:1" x14ac:dyDescent="0.25">
      <c r="A40" s="13" t="s">
        <v>77</v>
      </c>
    </row>
    <row r="41" spans="1:1" x14ac:dyDescent="0.25">
      <c r="A41" s="13" t="s">
        <v>78</v>
      </c>
    </row>
    <row r="42" spans="1:1" x14ac:dyDescent="0.25">
      <c r="A42" s="13" t="s">
        <v>79</v>
      </c>
    </row>
    <row r="43" spans="1:1" x14ac:dyDescent="0.25">
      <c r="A43" s="13" t="s">
        <v>80</v>
      </c>
    </row>
    <row r="44" spans="1:1" x14ac:dyDescent="0.25">
      <c r="A44" s="13" t="s">
        <v>81</v>
      </c>
    </row>
    <row r="45" spans="1:1" x14ac:dyDescent="0.25">
      <c r="A45" s="13" t="s">
        <v>82</v>
      </c>
    </row>
    <row r="46" spans="1:1" x14ac:dyDescent="0.25">
      <c r="A46" s="13" t="s">
        <v>83</v>
      </c>
    </row>
    <row r="47" spans="1:1" x14ac:dyDescent="0.25">
      <c r="A47" s="13" t="s">
        <v>84</v>
      </c>
    </row>
    <row r="48" spans="1:1" x14ac:dyDescent="0.25">
      <c r="A48" s="13" t="s">
        <v>85</v>
      </c>
    </row>
    <row r="49" spans="1:1" x14ac:dyDescent="0.25">
      <c r="A49" s="13" t="s">
        <v>86</v>
      </c>
    </row>
    <row r="50" spans="1:1" x14ac:dyDescent="0.25">
      <c r="A50" s="13" t="s">
        <v>87</v>
      </c>
    </row>
    <row r="51" spans="1:1" x14ac:dyDescent="0.25">
      <c r="A51" s="13" t="s">
        <v>88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BD Bancos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Priscila Rodrigues</dc:creator>
  <cp:lastModifiedBy>Priscila Rodrigues</cp:lastModifiedBy>
  <dcterms:created xsi:type="dcterms:W3CDTF">2026-02-14T15:04:20Z</dcterms:created>
  <dcterms:modified xsi:type="dcterms:W3CDTF">2026-02-14T17:16:42Z</dcterms:modified>
</cp:coreProperties>
</file>